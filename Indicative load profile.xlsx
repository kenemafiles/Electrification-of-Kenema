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.sharepoint.com/sites/EngineeringScience-MScEnergySystemsAY2223-Uruguay/Shared Documents/Uruguay/Energy for Development/"/>
    </mc:Choice>
  </mc:AlternateContent>
  <xr:revisionPtr revIDLastSave="0" documentId="8_{FEFF4D2A-0174-46F8-8EB7-109B5E4136EA}" xr6:coauthVersionLast="47" xr6:coauthVersionMax="47" xr10:uidLastSave="{00000000-0000-0000-0000-000000000000}"/>
  <bookViews>
    <workbookView xWindow="0" yWindow="500" windowWidth="28800" windowHeight="17500" firstSheet="1" activeTab="1" xr2:uid="{9CDAF0F3-E56F-4BE4-8CB3-7841F34BBFCC}"/>
  </bookViews>
  <sheets>
    <sheet name="Tier 1" sheetId="1" r:id="rId1"/>
    <sheet name="Tier 3" sheetId="2" r:id="rId2"/>
    <sheet name="Tier 5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B17" i="3"/>
  <c r="H17" i="3"/>
  <c r="E8" i="1"/>
  <c r="B8" i="1"/>
  <c r="H8" i="1"/>
  <c r="H13" i="2"/>
  <c r="E13" i="2"/>
  <c r="G1" i="2"/>
  <c r="Y1" i="1"/>
  <c r="Y6" i="1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B1" i="3"/>
  <c r="B14" i="3"/>
  <c r="B13" i="2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B6" i="1"/>
  <c r="C3" i="3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C3" i="2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B1" i="2"/>
  <c r="C1" i="2" s="1"/>
  <c r="D1" i="2" s="1"/>
  <c r="E1" i="2" s="1"/>
  <c r="F1" i="2" s="1"/>
  <c r="H1" i="2" s="1"/>
  <c r="C1" i="1"/>
  <c r="D1" i="1" s="1"/>
  <c r="E1" i="1" s="1"/>
  <c r="F1" i="1" s="1"/>
  <c r="G1" i="1" s="1"/>
  <c r="H1" i="1" s="1"/>
  <c r="B1" i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I1" i="2" l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C14" i="3"/>
  <c r="I1" i="1"/>
  <c r="J1" i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D14" i="3" l="1"/>
  <c r="E14" i="3" l="1"/>
  <c r="F14" i="3" l="1"/>
  <c r="G14" i="3" l="1"/>
  <c r="H14" i="3" l="1"/>
  <c r="I14" i="3" l="1"/>
  <c r="J14" i="3" l="1"/>
  <c r="K14" i="3" l="1"/>
  <c r="L14" i="3" l="1"/>
  <c r="M14" i="3" l="1"/>
  <c r="N14" i="3" l="1"/>
  <c r="O14" i="3" l="1"/>
  <c r="P14" i="3" l="1"/>
  <c r="Q14" i="3" l="1"/>
  <c r="R14" i="3" l="1"/>
  <c r="S14" i="3" l="1"/>
  <c r="T14" i="3" l="1"/>
  <c r="U14" i="3" l="1"/>
  <c r="V14" i="3" l="1"/>
  <c r="W14" i="3" l="1"/>
  <c r="Y14" i="3" l="1"/>
  <c r="X14" i="3"/>
</calcChain>
</file>

<file path=xl/sharedStrings.xml><?xml version="1.0" encoding="utf-8"?>
<sst xmlns="http://schemas.openxmlformats.org/spreadsheetml/2006/main" count="91" uniqueCount="53">
  <si>
    <t>Total energy (Wh) - below 199</t>
  </si>
  <si>
    <t>Hour</t>
  </si>
  <si>
    <t>Phone Charging</t>
  </si>
  <si>
    <t>Lighting</t>
  </si>
  <si>
    <t>Total energy (Wh)</t>
  </si>
  <si>
    <t>total</t>
  </si>
  <si>
    <t>day</t>
  </si>
  <si>
    <t>night</t>
  </si>
  <si>
    <t>tier 1</t>
  </si>
  <si>
    <t>tier 3</t>
  </si>
  <si>
    <t>tier 5</t>
  </si>
  <si>
    <t>sources: https://news.energysage.com/how-many-watts-does-a-phone-charger-use/</t>
  </si>
  <si>
    <t>What Does the Power Rating on a Light Bulb Describe | (2023) (lightow.com)</t>
  </si>
  <si>
    <t>https://learn.eartheasy.com/guides/led-light-bulbs-comparison-charts/#:~:text=They%20range%20from%207.5%20to,LED%20bulbs%20is%20greatly%20reduced.</t>
  </si>
  <si>
    <t>https://datareportal.com/reports/digital-2022-sierra-leone</t>
  </si>
  <si>
    <t xml:space="preserve"> </t>
  </si>
  <si>
    <t>Total energy (Wh) - below 3400 Wh</t>
  </si>
  <si>
    <t>Small TV</t>
  </si>
  <si>
    <t>Radio</t>
  </si>
  <si>
    <t>Shaver</t>
  </si>
  <si>
    <t>Hair dryer</t>
  </si>
  <si>
    <t>Incubator</t>
  </si>
  <si>
    <t>https://www.kccscientific.com/much-power-clipper-shaver-really-need/</t>
  </si>
  <si>
    <t>How Much Electricity Does A Tv Use South Africa?</t>
  </si>
  <si>
    <t>10W</t>
  </si>
  <si>
    <t>radio</t>
  </si>
  <si>
    <t>https://poweringsolution.com/do-radios-use-a-lot-of-electricity/</t>
  </si>
  <si>
    <t>light</t>
  </si>
  <si>
    <t>https://energysavingtrust.org.uk/advice/lighting/#:~:text=Traditional%20or%20incandescent%20light%20bulbs,as%20heat%20passes%20through%20it.</t>
  </si>
  <si>
    <t xml:space="preserve">Total energy (Wh) </t>
  </si>
  <si>
    <t>Sewing Machine</t>
  </si>
  <si>
    <t>Fridge</t>
  </si>
  <si>
    <t>DVD Player</t>
  </si>
  <si>
    <t>Computer</t>
  </si>
  <si>
    <t xml:space="preserve">Air Conditioner </t>
  </si>
  <si>
    <t>TV</t>
  </si>
  <si>
    <t>Electric Oven</t>
  </si>
  <si>
    <t>Power ratings</t>
  </si>
  <si>
    <t>Watts</t>
  </si>
  <si>
    <t>Sewing machine</t>
  </si>
  <si>
    <t>How Much Electricity Does a Sewing Machine Use Per Hour? (sewingiscool.com)</t>
  </si>
  <si>
    <t>How many Watts is my LG Refrigerator — Paspolini.studio</t>
  </si>
  <si>
    <t>Power Supply Unit | PSU | SCAN UK</t>
  </si>
  <si>
    <t>Samsung QE55Q65B (2022) QLED HDR 4K Ultra HD Smart TV, 55 inch with TVPlus/Freesat HD, Titan Grey (johnlewis.com)</t>
  </si>
  <si>
    <t>Egg incubator</t>
  </si>
  <si>
    <t>https://www.indiamart.com/proddetail/egg-incubator-100-capacity-20382910473.html</t>
  </si>
  <si>
    <t>A/C unit</t>
  </si>
  <si>
    <t>https://news.energysage.com/how-many-watts-does-an-air-conditioner-use/#:~:text=On%20average%2C%20an%20air%20conditioner,20%20amps%20and%20120%20volts.</t>
  </si>
  <si>
    <t>https://reductionrevolution.com.au/blogs/how-to/fridge-power-consumption#:~:text=Domestic%20fridge%20power%20consumption%20is,a%20plug%2Din%20power%20meter.</t>
  </si>
  <si>
    <t xml:space="preserve">Hairdryer </t>
  </si>
  <si>
    <t>(use it for 5 min)</t>
  </si>
  <si>
    <t>https://www.confusedaboutenergy.co.uk/household-energy-costs/buying-household-appliances/hair-dryers.php#:~:text=Household%20Appliances%20and%20Lighting,-Please%20use%20twitter&amp;text=In%20the%20USA%20Hairdryers%20tend,dryers%20are%20rated%20at%201200W.</t>
  </si>
  <si>
    <t>How Much Electricity Each Item in Your House Uses | Family Handyman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</si>
</sst>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6621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Tier</a:t>
            </a:r>
            <a:r>
              <a:rPr lang="en-GB" baseline="0"/>
              <a:t> 1 Energy Profile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'Tier 1'!$A$4</c:f>
              <c:strCache>
                <c:ptCount val="1"/>
                <c:pt idx="0">
                  <c:v>Phone Charging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'Tier 1'!$B$3:$Y$3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'Tier 1'!$B$4:$Y$4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E-934D-B1C6-BB18C074C527}"/>
            </c:ext>
          </c:extLst>
        </c:ser>
        <c:ser>
          <c:idx val="2"/>
          <c:order val="1"/>
          <c:tx>
            <c:strRef>
              <c:f>'Tier 1'!$A$5</c:f>
              <c:strCache>
                <c:ptCount val="1"/>
                <c:pt idx="0">
                  <c:v>Lighting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'Tier 1'!$B$3:$Y$3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'Tier 1'!$B$5:$Y$5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4E-934D-B1C6-BB18C074C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5972320"/>
        <c:axId val="635758512"/>
      </c:barChart>
      <c:catAx>
        <c:axId val="6359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58512"/>
        <c:crosses val="autoZero"/>
        <c:auto val="1"/>
        <c:lblAlgn val="ctr"/>
        <c:lblOffset val="100"/>
        <c:noMultiLvlLbl val="0"/>
      </c:catAx>
      <c:valAx>
        <c:axId val="6357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97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'Tier 1'!$B$24:$D$24</c:f>
              <c:numCache>
                <c:formatCode>General</c:formatCode>
                <c:ptCount val="3"/>
                <c:pt idx="0">
                  <c:v>1220</c:v>
                </c:pt>
                <c:pt idx="1">
                  <c:v>2900</c:v>
                </c:pt>
                <c:pt idx="2">
                  <c:v>50556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8-4F3B-A12D-ECB48CFB781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'Tier 1'!$B$25:$D$25</c:f>
              <c:numCache>
                <c:formatCode>General</c:formatCode>
                <c:ptCount val="3"/>
                <c:pt idx="0">
                  <c:v>340</c:v>
                </c:pt>
                <c:pt idx="1">
                  <c:v>2000</c:v>
                </c:pt>
                <c:pt idx="2">
                  <c:v>34824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78-4F3B-A12D-ECB48CFB781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'Tier 1'!$B$26:$D$26</c:f>
              <c:numCache>
                <c:formatCode>General</c:formatCode>
                <c:ptCount val="3"/>
                <c:pt idx="0">
                  <c:v>880</c:v>
                </c:pt>
                <c:pt idx="1">
                  <c:v>900</c:v>
                </c:pt>
                <c:pt idx="2">
                  <c:v>15732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78-4F3B-A12D-ECB48CFB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6726056"/>
        <c:axId val="637643304"/>
      </c:barChart>
      <c:catAx>
        <c:axId val="1856726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43304"/>
        <c:crosses val="autoZero"/>
        <c:auto val="1"/>
        <c:lblAlgn val="ctr"/>
        <c:lblOffset val="100"/>
        <c:noMultiLvlLbl val="0"/>
      </c:catAx>
      <c:valAx>
        <c:axId val="63764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2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Tier</a:t>
            </a:r>
            <a:r>
              <a:rPr lang="en-GB" baseline="0"/>
              <a:t> 3 Energy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6"/>
          <c:order val="0"/>
          <c:tx>
            <c:strRef>
              <c:f>'Tier 3'!$A$10</c:f>
              <c:strCache>
                <c:ptCount val="1"/>
                <c:pt idx="0">
                  <c:v>Incubator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'Tier 3'!$B$10:$Y$10</c:f>
              <c:numCache>
                <c:formatCode>General</c:formatCode>
                <c:ptCount val="2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1C-164B-B8A7-6558EB1311BB}"/>
            </c:ext>
          </c:extLst>
        </c:ser>
        <c:ser>
          <c:idx val="0"/>
          <c:order val="1"/>
          <c:tx>
            <c:strRef>
              <c:f>'Tier 3'!$A$4</c:f>
              <c:strCache>
                <c:ptCount val="1"/>
                <c:pt idx="0">
                  <c:v>Phone Charging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'Tier 3'!$B$4:$Y$4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C-164B-B8A7-6558EB1311BB}"/>
            </c:ext>
          </c:extLst>
        </c:ser>
        <c:ser>
          <c:idx val="1"/>
          <c:order val="2"/>
          <c:tx>
            <c:strRef>
              <c:f>'Tier 3'!$A$5</c:f>
              <c:strCache>
                <c:ptCount val="1"/>
                <c:pt idx="0">
                  <c:v>Lighting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'Tier 3'!$B$5:$Y$5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160</c:v>
                </c:pt>
                <c:pt idx="6">
                  <c:v>160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120</c:v>
                </c:pt>
                <c:pt idx="19">
                  <c:v>120</c:v>
                </c:pt>
                <c:pt idx="20">
                  <c:v>80</c:v>
                </c:pt>
                <c:pt idx="21">
                  <c:v>80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C-164B-B8A7-6558EB1311BB}"/>
            </c:ext>
          </c:extLst>
        </c:ser>
        <c:ser>
          <c:idx val="2"/>
          <c:order val="3"/>
          <c:tx>
            <c:strRef>
              <c:f>'Tier 3'!$A$6</c:f>
              <c:strCache>
                <c:ptCount val="1"/>
                <c:pt idx="0">
                  <c:v>Small TV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'Tier 3'!$B$6:$Y$6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C-164B-B8A7-6558EB1311BB}"/>
            </c:ext>
          </c:extLst>
        </c:ser>
        <c:ser>
          <c:idx val="3"/>
          <c:order val="4"/>
          <c:tx>
            <c:strRef>
              <c:f>'Tier 3'!$A$7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'Tier 3'!$B$7:$Y$7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1C-164B-B8A7-6558EB1311BB}"/>
            </c:ext>
          </c:extLst>
        </c:ser>
        <c:ser>
          <c:idx val="4"/>
          <c:order val="5"/>
          <c:tx>
            <c:strRef>
              <c:f>'Tier 3'!$A$8</c:f>
              <c:strCache>
                <c:ptCount val="1"/>
                <c:pt idx="0">
                  <c:v>Shaver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'Tier 3'!$B$8:$Y$8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1C-164B-B8A7-6558EB1311BB}"/>
            </c:ext>
          </c:extLst>
        </c:ser>
        <c:ser>
          <c:idx val="5"/>
          <c:order val="6"/>
          <c:tx>
            <c:strRef>
              <c:f>'Tier 3'!$A$9</c:f>
              <c:strCache>
                <c:ptCount val="1"/>
                <c:pt idx="0">
                  <c:v>Hair dryer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'Tier 3'!$B$9:$Y$9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1C-164B-B8A7-6558EB131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8036592"/>
        <c:axId val="415008816"/>
      </c:barChart>
      <c:catAx>
        <c:axId val="28803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08816"/>
        <c:crosses val="autoZero"/>
        <c:auto val="1"/>
        <c:lblAlgn val="ctr"/>
        <c:lblOffset val="100"/>
        <c:noMultiLvlLbl val="0"/>
      </c:catAx>
      <c:valAx>
        <c:axId val="4150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0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'Tier 5'!$A$4</c:f>
              <c:strCache>
                <c:ptCount val="1"/>
                <c:pt idx="0">
                  <c:v>Phone Charging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'Tier 5'!$B$4:$Y$4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</c:v>
                </c:pt>
                <c:pt idx="6">
                  <c:v>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F-F444-B4AF-BDCE860A682C}"/>
            </c:ext>
          </c:extLst>
        </c:ser>
        <c:ser>
          <c:idx val="1"/>
          <c:order val="1"/>
          <c:tx>
            <c:strRef>
              <c:f>'Tier 5'!$A$5</c:f>
              <c:strCache>
                <c:ptCount val="1"/>
                <c:pt idx="0">
                  <c:v>Lighting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'Tier 5'!$B$5:$Y$5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F-F444-B4AF-BDCE860A682C}"/>
            </c:ext>
          </c:extLst>
        </c:ser>
        <c:ser>
          <c:idx val="2"/>
          <c:order val="2"/>
          <c:tx>
            <c:strRef>
              <c:f>'Tier 5'!$A$6</c:f>
              <c:strCache>
                <c:ptCount val="1"/>
                <c:pt idx="0">
                  <c:v>Sewing Machine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'Tier 5'!$B$6:$Y$6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1F-F444-B4AF-BDCE860A682C}"/>
            </c:ext>
          </c:extLst>
        </c:ser>
        <c:ser>
          <c:idx val="3"/>
          <c:order val="3"/>
          <c:tx>
            <c:strRef>
              <c:f>'Tier 5'!$A$7</c:f>
              <c:strCache>
                <c:ptCount val="1"/>
                <c:pt idx="0">
                  <c:v>Fridge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'Tier 5'!$B$7:$Y$7</c:f>
              <c:numCache>
                <c:formatCode>General</c:formatCode>
                <c:ptCount val="24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1F-F444-B4AF-BDCE860A682C}"/>
            </c:ext>
          </c:extLst>
        </c:ser>
        <c:ser>
          <c:idx val="4"/>
          <c:order val="4"/>
          <c:tx>
            <c:strRef>
              <c:f>'Tier 5'!$A$8</c:f>
              <c:strCache>
                <c:ptCount val="1"/>
                <c:pt idx="0">
                  <c:v>DVD Player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'Tier 5'!$B$8:$Y$8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1F-F444-B4AF-BDCE860A682C}"/>
            </c:ext>
          </c:extLst>
        </c:ser>
        <c:ser>
          <c:idx val="6"/>
          <c:order val="5"/>
          <c:tx>
            <c:strRef>
              <c:f>'Tier 5'!$A$9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'Tier 5'!$B$9:$Y$9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550</c:v>
                </c:pt>
                <c:pt idx="8">
                  <c:v>550</c:v>
                </c:pt>
                <c:pt idx="9">
                  <c:v>550</c:v>
                </c:pt>
                <c:pt idx="10">
                  <c:v>550</c:v>
                </c:pt>
                <c:pt idx="11">
                  <c:v>550</c:v>
                </c:pt>
                <c:pt idx="12">
                  <c:v>550</c:v>
                </c:pt>
                <c:pt idx="13">
                  <c:v>550</c:v>
                </c:pt>
                <c:pt idx="14">
                  <c:v>550</c:v>
                </c:pt>
                <c:pt idx="15">
                  <c:v>550</c:v>
                </c:pt>
                <c:pt idx="16">
                  <c:v>550</c:v>
                </c:pt>
                <c:pt idx="17">
                  <c:v>550</c:v>
                </c:pt>
                <c:pt idx="18">
                  <c:v>550</c:v>
                </c:pt>
                <c:pt idx="19">
                  <c:v>550</c:v>
                </c:pt>
                <c:pt idx="20">
                  <c:v>550</c:v>
                </c:pt>
                <c:pt idx="21">
                  <c:v>550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1F-F444-B4AF-BDCE860A682C}"/>
            </c:ext>
          </c:extLst>
        </c:ser>
        <c:ser>
          <c:idx val="8"/>
          <c:order val="6"/>
          <c:tx>
            <c:strRef>
              <c:f>'Tier 5'!$A$10</c:f>
              <c:strCache>
                <c:ptCount val="1"/>
                <c:pt idx="0">
                  <c:v>Air Conditioner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'Tier 5'!$B$10:$Y$10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1F-F444-B4AF-BDCE860A682C}"/>
            </c:ext>
          </c:extLst>
        </c:ser>
        <c:ser>
          <c:idx val="9"/>
          <c:order val="7"/>
          <c:tx>
            <c:strRef>
              <c:f>'Tier 5'!$A$11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'Tier 5'!$B$11:$Y$11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77</c:v>
                </c:pt>
                <c:pt idx="19">
                  <c:v>77</c:v>
                </c:pt>
                <c:pt idx="20">
                  <c:v>77</c:v>
                </c:pt>
                <c:pt idx="21">
                  <c:v>77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1F-F444-B4AF-BDCE860A682C}"/>
            </c:ext>
          </c:extLst>
        </c:ser>
        <c:ser>
          <c:idx val="5"/>
          <c:order val="8"/>
          <c:tx>
            <c:strRef>
              <c:f>'Tier 5'!$A$12</c:f>
              <c:strCache>
                <c:ptCount val="1"/>
                <c:pt idx="0">
                  <c:v>Electric Oven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'Tier 5'!$B$12:$Y$12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750</c:v>
                </c:pt>
                <c:pt idx="19">
                  <c:v>375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5-1747-85DE-36CB52682493}"/>
            </c:ext>
          </c:extLst>
        </c:ser>
        <c:ser>
          <c:idx val="7"/>
          <c:order val="9"/>
          <c:tx>
            <c:strRef>
              <c:f>'Tier 5'!$A$13</c:f>
              <c:strCache>
                <c:ptCount val="1"/>
                <c:pt idx="0">
                  <c:v>Incubator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'Tier 5'!$B$13:$Y$13</c:f>
              <c:numCache>
                <c:formatCode>General</c:formatCode>
                <c:ptCount val="2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25-1747-85DE-36CB52682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2120224"/>
        <c:axId val="452121872"/>
      </c:barChart>
      <c:catAx>
        <c:axId val="452120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21872"/>
        <c:crosses val="autoZero"/>
        <c:auto val="1"/>
        <c:lblAlgn val="ctr"/>
        <c:lblOffset val="100"/>
        <c:noMultiLvlLbl val="0"/>
      </c:catAx>
      <c:valAx>
        <c:axId val="4521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2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20</xdr:row>
      <xdr:rowOff>152400</xdr:rowOff>
    </xdr:from>
    <xdr:to>
      <xdr:col>14</xdr:col>
      <xdr:colOff>485775</xdr:colOff>
      <xdr:row>36</xdr:row>
      <xdr:rowOff>38100</xdr:rowOff>
    </xdr:to>
    <xdr:graphicFrame macro="">
      <xdr:nvGraphicFramePr>
        <xdr:cNvPr id="68" name="Chart 1">
          <a:extLst>
            <a:ext uri="{FF2B5EF4-FFF2-40B4-BE49-F238E27FC236}">
              <a16:creationId xmlns:a16="http://schemas.microsoft.com/office/drawing/2014/main" id="{0D4150A9-8328-30D4-E393-401DBCB9F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20</xdr:row>
      <xdr:rowOff>152400</xdr:rowOff>
    </xdr:from>
    <xdr:to>
      <xdr:col>23</xdr:col>
      <xdr:colOff>314325</xdr:colOff>
      <xdr:row>35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453D74-ED69-07F3-75D5-9CB825834F7B}"/>
            </a:ext>
            <a:ext uri="{147F2762-F138-4A5C-976F-8EAC2B608ADB}">
              <a16:predDERef xmlns:a16="http://schemas.microsoft.com/office/drawing/2014/main" pred="{0D4150A9-8328-30D4-E393-401DBCB9F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17</xdr:row>
      <xdr:rowOff>133350</xdr:rowOff>
    </xdr:from>
    <xdr:to>
      <xdr:col>21</xdr:col>
      <xdr:colOff>514350</xdr:colOff>
      <xdr:row>33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2E1B6FD-18E9-CA16-50C9-6D4BA01CE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14</xdr:row>
      <xdr:rowOff>31750</xdr:rowOff>
    </xdr:from>
    <xdr:to>
      <xdr:col>23</xdr:col>
      <xdr:colOff>184150</xdr:colOff>
      <xdr:row>29</xdr:row>
      <xdr:rowOff>60325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8566F216-9686-02A6-44C5-462D70030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atareportal.com/reports/digital-2022-sierra-leone" TargetMode="External"/><Relationship Id="rId1" Type="http://schemas.openxmlformats.org/officeDocument/2006/relationships/hyperlink" Target="https://lightow.com/what-does-the-power-rating-on-a-light-bulb-describ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oweringsolution.com/do-radios-use-a-lot-of-electricity/" TargetMode="External"/><Relationship Id="rId2" Type="http://schemas.openxmlformats.org/officeDocument/2006/relationships/hyperlink" Target="https://www.myggsa.co.za/how-much-electricity-does-a-tv-use-south-africa/" TargetMode="External"/><Relationship Id="rId1" Type="http://schemas.openxmlformats.org/officeDocument/2006/relationships/hyperlink" Target="https://www.kccscientific.com/much-power-clipper-shaver-really-need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energysavingtrust.org.uk/advice/lighting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www.scan.co.uk/shop/computer-hardware/power-supplies/2371/2372/2373/814/1278?msclkid=eb508c9b86b1129158e6ef5ed8992d03&amp;utm_source=bing&amp;utm_medium=cpc&amp;utm_campaign=Power%20supplies%20-%20Search&amp;utm_term=corsair%20power%20supply&amp;utm_content=Corsair%20PSU%20-%20%5BE%5D" TargetMode="External"/><Relationship Id="rId7" Type="http://schemas.openxmlformats.org/officeDocument/2006/relationships/hyperlink" Target="https://www.familyhandyman.com/list/how-much-electricity-items-in-your-house-use/" TargetMode="External"/><Relationship Id="rId2" Type="http://schemas.openxmlformats.org/officeDocument/2006/relationships/hyperlink" Target="https://www.johnlewis.com/samsung-qe55q65b-2022-qled-hdr-4k-ultra-hd-smart-tv-55-inch-with-tvplus-freesat-hd-titan-grey/p6230028" TargetMode="External"/><Relationship Id="rId1" Type="http://schemas.openxmlformats.org/officeDocument/2006/relationships/hyperlink" Target="https://sewingiscool.com/power-consumption-of-sewing-machine/" TargetMode="External"/><Relationship Id="rId6" Type="http://schemas.openxmlformats.org/officeDocument/2006/relationships/hyperlink" Target="https://www.confusedaboutenergy.co.uk/household-energy-costs/buying-household-appliances/hair-dryers.php" TargetMode="External"/><Relationship Id="rId5" Type="http://schemas.openxmlformats.org/officeDocument/2006/relationships/hyperlink" Target="https://www.indiamart.com/proddetail/egg-incubator-100-capacity-20382910473.html" TargetMode="External"/><Relationship Id="rId4" Type="http://schemas.openxmlformats.org/officeDocument/2006/relationships/hyperlink" Target="https://paspolini.studio/en/how-many-watts-is-my-lg-refriger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F55B-A82C-45A1-9B90-B4783AA14A9F}">
  <dimension ref="A1:Y26"/>
  <sheetViews>
    <sheetView workbookViewId="0">
      <selection activeCell="A23" sqref="A23"/>
    </sheetView>
  </sheetViews>
  <sheetFormatPr defaultColWidth="8.85546875" defaultRowHeight="15"/>
  <cols>
    <col min="1" max="1" width="27.85546875" customWidth="1"/>
    <col min="2" max="2" width="12.42578125" customWidth="1"/>
  </cols>
  <sheetData>
    <row r="1" spans="1:25">
      <c r="A1" t="s">
        <v>0</v>
      </c>
      <c r="B1">
        <f>SUM(B3:B5)</f>
        <v>0</v>
      </c>
      <c r="C1">
        <f t="shared" ref="C1:Y1" si="0">B1+SUM(C4:C5)</f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>F1+SUM(G4:G4)</f>
        <v>20</v>
      </c>
      <c r="H1">
        <f>G1+SUM(H4:H4)</f>
        <v>20</v>
      </c>
      <c r="I1">
        <f>H1+SUM(I4:I5)</f>
        <v>20</v>
      </c>
      <c r="J1">
        <f t="shared" si="0"/>
        <v>20</v>
      </c>
      <c r="K1">
        <f t="shared" si="0"/>
        <v>20</v>
      </c>
      <c r="L1">
        <f t="shared" si="0"/>
        <v>20</v>
      </c>
      <c r="M1">
        <f t="shared" si="0"/>
        <v>20</v>
      </c>
      <c r="N1">
        <f t="shared" si="0"/>
        <v>20</v>
      </c>
      <c r="O1">
        <f t="shared" si="0"/>
        <v>20</v>
      </c>
      <c r="P1">
        <f t="shared" si="0"/>
        <v>20</v>
      </c>
      <c r="Q1">
        <f t="shared" si="0"/>
        <v>20</v>
      </c>
      <c r="R1">
        <f t="shared" si="0"/>
        <v>20</v>
      </c>
      <c r="S1">
        <f t="shared" si="0"/>
        <v>20</v>
      </c>
      <c r="T1">
        <f t="shared" si="0"/>
        <v>40</v>
      </c>
      <c r="U1">
        <f t="shared" si="0"/>
        <v>80</v>
      </c>
      <c r="V1">
        <f t="shared" si="0"/>
        <v>120</v>
      </c>
      <c r="W1">
        <f t="shared" si="0"/>
        <v>160</v>
      </c>
      <c r="X1">
        <f t="shared" si="0"/>
        <v>160</v>
      </c>
      <c r="Y1">
        <f>X1+SUM(Y4:Y5)</f>
        <v>160</v>
      </c>
    </row>
    <row r="3" spans="1:25">
      <c r="A3" s="1" t="s">
        <v>1</v>
      </c>
      <c r="B3" s="1">
        <v>0</v>
      </c>
      <c r="C3" s="1">
        <f>B3+1</f>
        <v>1</v>
      </c>
      <c r="D3" s="1">
        <f t="shared" ref="D3:Y3" si="1">C3+1</f>
        <v>2</v>
      </c>
      <c r="E3" s="1">
        <f t="shared" si="1"/>
        <v>3</v>
      </c>
      <c r="F3" s="1">
        <f t="shared" si="1"/>
        <v>4</v>
      </c>
      <c r="G3" s="1">
        <f t="shared" si="1"/>
        <v>5</v>
      </c>
      <c r="H3" s="1">
        <f t="shared" si="1"/>
        <v>6</v>
      </c>
      <c r="I3" s="1">
        <f t="shared" si="1"/>
        <v>7</v>
      </c>
      <c r="J3" s="1">
        <f t="shared" si="1"/>
        <v>8</v>
      </c>
      <c r="K3" s="1">
        <f t="shared" si="1"/>
        <v>9</v>
      </c>
      <c r="L3" s="1">
        <f t="shared" si="1"/>
        <v>10</v>
      </c>
      <c r="M3" s="1">
        <f t="shared" si="1"/>
        <v>11</v>
      </c>
      <c r="N3" s="1">
        <f t="shared" si="1"/>
        <v>12</v>
      </c>
      <c r="O3" s="1">
        <f t="shared" si="1"/>
        <v>13</v>
      </c>
      <c r="P3" s="1">
        <f t="shared" si="1"/>
        <v>14</v>
      </c>
      <c r="Q3" s="1">
        <f t="shared" si="1"/>
        <v>15</v>
      </c>
      <c r="R3" s="1">
        <f t="shared" si="1"/>
        <v>16</v>
      </c>
      <c r="S3" s="1">
        <f t="shared" si="1"/>
        <v>17</v>
      </c>
      <c r="T3" s="1">
        <f t="shared" si="1"/>
        <v>18</v>
      </c>
      <c r="U3" s="1">
        <f t="shared" si="1"/>
        <v>19</v>
      </c>
      <c r="V3" s="1">
        <f t="shared" si="1"/>
        <v>20</v>
      </c>
      <c r="W3" s="1">
        <f t="shared" si="1"/>
        <v>21</v>
      </c>
      <c r="X3" s="1">
        <f t="shared" si="1"/>
        <v>22</v>
      </c>
      <c r="Y3" s="1">
        <f t="shared" si="1"/>
        <v>23</v>
      </c>
    </row>
    <row r="4" spans="1: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20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40</v>
      </c>
      <c r="H5">
        <v>40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</v>
      </c>
      <c r="V5">
        <v>40</v>
      </c>
      <c r="W5">
        <v>40</v>
      </c>
      <c r="X5">
        <v>0</v>
      </c>
      <c r="Y5">
        <v>0</v>
      </c>
    </row>
    <row r="6" spans="1:25">
      <c r="A6" t="s">
        <v>4</v>
      </c>
      <c r="B6">
        <f>B1</f>
        <v>0</v>
      </c>
      <c r="C6">
        <f>C1</f>
        <v>0</v>
      </c>
      <c r="D6">
        <f>D1</f>
        <v>0</v>
      </c>
      <c r="E6">
        <f>E1</f>
        <v>0</v>
      </c>
      <c r="F6">
        <f>F1</f>
        <v>0</v>
      </c>
      <c r="G6">
        <f>G1</f>
        <v>20</v>
      </c>
      <c r="H6">
        <f>H1</f>
        <v>20</v>
      </c>
      <c r="I6">
        <f>I1</f>
        <v>20</v>
      </c>
      <c r="J6">
        <f>J1</f>
        <v>20</v>
      </c>
      <c r="K6">
        <f>K1</f>
        <v>20</v>
      </c>
      <c r="L6">
        <f>L1</f>
        <v>20</v>
      </c>
      <c r="M6">
        <f>M1</f>
        <v>20</v>
      </c>
      <c r="N6">
        <f>N1</f>
        <v>20</v>
      </c>
      <c r="O6">
        <f>O1</f>
        <v>20</v>
      </c>
      <c r="P6">
        <f>P1</f>
        <v>20</v>
      </c>
      <c r="Q6">
        <f>Q1</f>
        <v>20</v>
      </c>
      <c r="R6">
        <f>R1</f>
        <v>20</v>
      </c>
      <c r="S6">
        <f>S1</f>
        <v>20</v>
      </c>
      <c r="T6">
        <f>T1</f>
        <v>40</v>
      </c>
      <c r="U6">
        <f>U1</f>
        <v>80</v>
      </c>
      <c r="V6">
        <f>V1</f>
        <v>120</v>
      </c>
      <c r="W6">
        <f>W1</f>
        <v>160</v>
      </c>
      <c r="X6">
        <f>X1</f>
        <v>160</v>
      </c>
      <c r="Y6">
        <f>Y1</f>
        <v>160</v>
      </c>
    </row>
    <row r="7" spans="1:25">
      <c r="B7" t="s">
        <v>5</v>
      </c>
      <c r="C7" t="s">
        <v>6</v>
      </c>
      <c r="D7" t="s">
        <v>7</v>
      </c>
    </row>
    <row r="8" spans="1:25">
      <c r="A8" t="s">
        <v>8</v>
      </c>
      <c r="B8">
        <f>SUM(B4:Y6)</f>
        <v>1220</v>
      </c>
      <c r="D8" t="s">
        <v>6</v>
      </c>
      <c r="E8">
        <f>SUM(H4:T6)</f>
        <v>340</v>
      </c>
      <c r="G8" t="s">
        <v>7</v>
      </c>
      <c r="H8">
        <f>B8-E8</f>
        <v>880</v>
      </c>
    </row>
    <row r="9" spans="1:25">
      <c r="A9" t="s">
        <v>9</v>
      </c>
      <c r="B9">
        <v>2900</v>
      </c>
      <c r="D9" t="s">
        <v>6</v>
      </c>
      <c r="E9">
        <v>2000</v>
      </c>
      <c r="G9" t="s">
        <v>7</v>
      </c>
      <c r="H9">
        <v>900</v>
      </c>
    </row>
    <row r="10" spans="1:25">
      <c r="A10" t="s">
        <v>10</v>
      </c>
      <c r="B10">
        <v>50556</v>
      </c>
      <c r="D10" t="s">
        <v>6</v>
      </c>
      <c r="E10">
        <v>34824</v>
      </c>
      <c r="G10" t="s">
        <v>7</v>
      </c>
      <c r="H10">
        <v>15732</v>
      </c>
    </row>
    <row r="12" spans="1:25">
      <c r="A12" t="s">
        <v>11</v>
      </c>
    </row>
    <row r="13" spans="1:25">
      <c r="A13" s="2" t="s">
        <v>12</v>
      </c>
    </row>
    <row r="14" spans="1:25">
      <c r="A14" t="s">
        <v>13</v>
      </c>
    </row>
    <row r="15" spans="1:25">
      <c r="A15" s="2" t="s">
        <v>14</v>
      </c>
    </row>
    <row r="16" spans="1:25">
      <c r="A16" s="3"/>
    </row>
    <row r="17" spans="1:5">
      <c r="E17" t="s">
        <v>15</v>
      </c>
    </row>
    <row r="18" spans="1:5">
      <c r="B18" t="s">
        <v>5</v>
      </c>
      <c r="C18" t="s">
        <v>6</v>
      </c>
      <c r="D18" t="s">
        <v>7</v>
      </c>
    </row>
    <row r="19" spans="1:5">
      <c r="A19" t="s">
        <v>8</v>
      </c>
      <c r="B19">
        <v>1220</v>
      </c>
      <c r="C19">
        <v>340</v>
      </c>
      <c r="D19">
        <v>880</v>
      </c>
    </row>
    <row r="20" spans="1:5">
      <c r="A20" t="s">
        <v>9</v>
      </c>
      <c r="B20">
        <v>2900</v>
      </c>
      <c r="C20">
        <v>2000</v>
      </c>
      <c r="D20">
        <v>900</v>
      </c>
    </row>
    <row r="21" spans="1:5">
      <c r="A21" t="s">
        <v>10</v>
      </c>
      <c r="B21">
        <v>50556</v>
      </c>
      <c r="C21">
        <v>34824</v>
      </c>
      <c r="D21">
        <v>15732</v>
      </c>
    </row>
    <row r="23" spans="1:5">
      <c r="B23" t="s">
        <v>8</v>
      </c>
      <c r="C23" t="s">
        <v>9</v>
      </c>
      <c r="D23" t="s">
        <v>10</v>
      </c>
    </row>
    <row r="24" spans="1:5">
      <c r="A24" t="s">
        <v>5</v>
      </c>
      <c r="B24">
        <v>1220</v>
      </c>
      <c r="C24">
        <v>2900</v>
      </c>
      <c r="D24">
        <v>50556</v>
      </c>
    </row>
    <row r="25" spans="1:5">
      <c r="A25" t="s">
        <v>6</v>
      </c>
      <c r="B25">
        <v>340</v>
      </c>
      <c r="C25">
        <v>2000</v>
      </c>
      <c r="D25">
        <v>34824</v>
      </c>
    </row>
    <row r="26" spans="1:5">
      <c r="A26" t="s">
        <v>7</v>
      </c>
      <c r="B26">
        <v>880</v>
      </c>
      <c r="C26">
        <v>900</v>
      </c>
      <c r="D26">
        <v>15732</v>
      </c>
    </row>
  </sheetData>
  <hyperlinks>
    <hyperlink ref="A13" r:id="rId1" location=":~:text=The%20power%20rating%20on%20a%20light%20bulb%20measures,a%20home%20uses%20around%2040%20watts%20of%20power." xr:uid="{460F5244-6C17-4952-B4BC-D51A1120BA4C}"/>
    <hyperlink ref="A15" r:id="rId2" xr:uid="{85EE4111-A7A8-406E-A6BB-10F518DE663C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D254-0AFE-4A78-BEBB-E6679421C82C}">
  <dimension ref="A1:Y19"/>
  <sheetViews>
    <sheetView tabSelected="1" workbookViewId="0">
      <selection activeCell="C8" sqref="C8"/>
    </sheetView>
  </sheetViews>
  <sheetFormatPr defaultColWidth="8.85546875" defaultRowHeight="15"/>
  <cols>
    <col min="1" max="1" width="33.140625" customWidth="1"/>
  </cols>
  <sheetData>
    <row r="1" spans="1:25">
      <c r="A1" t="s">
        <v>16</v>
      </c>
      <c r="B1">
        <f>SUM(B3:B5)</f>
        <v>0</v>
      </c>
      <c r="C1">
        <f>B1+SUM(C4:C5)</f>
        <v>0</v>
      </c>
      <c r="D1">
        <f>C1+SUM(D4:D5)</f>
        <v>0</v>
      </c>
      <c r="E1">
        <f>D1+SUM(E4:E5)</f>
        <v>0</v>
      </c>
      <c r="F1">
        <f>E1+SUM(F4:F5)</f>
        <v>0</v>
      </c>
      <c r="G1">
        <f>F1+SUM(G4:G5)</f>
        <v>180</v>
      </c>
      <c r="H1">
        <f>G1+SUM(H4:H5)</f>
        <v>340</v>
      </c>
      <c r="I1">
        <f>H1+SUM(I4:I5)</f>
        <v>340</v>
      </c>
      <c r="J1">
        <f>I1+SUM(J4:J5)</f>
        <v>340</v>
      </c>
      <c r="K1">
        <f>J1+SUM(K4:K5)</f>
        <v>340</v>
      </c>
      <c r="L1">
        <f>K1+SUM(L4:L5)</f>
        <v>340</v>
      </c>
      <c r="M1">
        <f>L1+SUM(M4:M5)</f>
        <v>340</v>
      </c>
      <c r="N1">
        <f>M1+SUM(N4:N5)</f>
        <v>340</v>
      </c>
      <c r="O1">
        <f>N1+SUM(O4:O5)</f>
        <v>340</v>
      </c>
      <c r="P1">
        <f>O1+SUM(P4:P5)</f>
        <v>340</v>
      </c>
      <c r="Q1">
        <f>P1+SUM(Q4:Q5)</f>
        <v>340</v>
      </c>
      <c r="R1">
        <f>Q1+SUM(R4:R5)</f>
        <v>340</v>
      </c>
      <c r="S1">
        <f>R1+SUM(S4:S5)</f>
        <v>340</v>
      </c>
      <c r="T1">
        <f>S1+SUM(T4:T5)</f>
        <v>480</v>
      </c>
      <c r="U1">
        <f>T1+SUM(U4:U5)</f>
        <v>600</v>
      </c>
      <c r="V1">
        <f>U1+SUM(V4:V5)</f>
        <v>680</v>
      </c>
      <c r="W1">
        <f>V1+SUM(W4:W5)</f>
        <v>760</v>
      </c>
      <c r="X1">
        <f>W1+SUM(X4:X5)</f>
        <v>760</v>
      </c>
      <c r="Y1">
        <f>X1+SUM(Y4:Y5)</f>
        <v>760</v>
      </c>
    </row>
    <row r="3" spans="1:25">
      <c r="A3" s="1" t="s">
        <v>1</v>
      </c>
      <c r="B3" s="1">
        <v>0</v>
      </c>
      <c r="C3" s="1">
        <f>B3+1</f>
        <v>1</v>
      </c>
      <c r="D3" s="1">
        <f>C3+1</f>
        <v>2</v>
      </c>
      <c r="E3" s="1">
        <f>D3+1</f>
        <v>3</v>
      </c>
      <c r="F3" s="1">
        <f>E3+1</f>
        <v>4</v>
      </c>
      <c r="G3" s="1">
        <f>F3+1</f>
        <v>5</v>
      </c>
      <c r="H3" s="1">
        <f>G3+1</f>
        <v>6</v>
      </c>
      <c r="I3" s="1">
        <f>H3+1</f>
        <v>7</v>
      </c>
      <c r="J3" s="1">
        <f>I3+1</f>
        <v>8</v>
      </c>
      <c r="K3" s="1">
        <f>J3+1</f>
        <v>9</v>
      </c>
      <c r="L3" s="1">
        <f>K3+1</f>
        <v>10</v>
      </c>
      <c r="M3" s="1">
        <f>L3+1</f>
        <v>11</v>
      </c>
      <c r="N3" s="1">
        <f>M3+1</f>
        <v>12</v>
      </c>
      <c r="O3" s="1">
        <f>N3+1</f>
        <v>13</v>
      </c>
      <c r="P3" s="1">
        <f>O3+1</f>
        <v>14</v>
      </c>
      <c r="Q3" s="1">
        <f>P3+1</f>
        <v>15</v>
      </c>
      <c r="R3" s="1">
        <f>Q3+1</f>
        <v>16</v>
      </c>
      <c r="S3" s="1">
        <f>R3+1</f>
        <v>17</v>
      </c>
      <c r="T3" s="1">
        <f>S3+1</f>
        <v>18</v>
      </c>
      <c r="U3" s="1">
        <f>T3+1</f>
        <v>19</v>
      </c>
      <c r="V3" s="1">
        <f>U3+1</f>
        <v>20</v>
      </c>
      <c r="W3" s="1">
        <f>V3+1</f>
        <v>21</v>
      </c>
      <c r="X3" s="1">
        <f>W3+1</f>
        <v>22</v>
      </c>
      <c r="Y3" s="1">
        <f>X3+1</f>
        <v>23</v>
      </c>
    </row>
    <row r="4" spans="1: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20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160</v>
      </c>
      <c r="H5">
        <v>160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120</v>
      </c>
      <c r="U5">
        <v>120</v>
      </c>
      <c r="V5">
        <v>80</v>
      </c>
      <c r="W5">
        <v>80</v>
      </c>
      <c r="X5">
        <v>0</v>
      </c>
      <c r="Y5">
        <v>0</v>
      </c>
    </row>
    <row r="6" spans="1:2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</v>
      </c>
      <c r="T6">
        <v>20</v>
      </c>
      <c r="U6">
        <v>20</v>
      </c>
      <c r="V6">
        <v>20</v>
      </c>
      <c r="W6">
        <v>0</v>
      </c>
      <c r="X6">
        <v>0</v>
      </c>
      <c r="Y6">
        <v>0</v>
      </c>
    </row>
    <row r="7" spans="1:2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</v>
      </c>
      <c r="V8">
        <v>0</v>
      </c>
      <c r="W8">
        <v>0</v>
      </c>
      <c r="X8">
        <v>0</v>
      </c>
      <c r="Y8">
        <v>0</v>
      </c>
    </row>
    <row r="9" spans="1:2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  <c r="Y9">
        <v>0</v>
      </c>
    </row>
    <row r="10" spans="1:25">
      <c r="A10" t="s">
        <v>21</v>
      </c>
      <c r="B10">
        <v>120</v>
      </c>
      <c r="C10">
        <v>120</v>
      </c>
      <c r="D10">
        <v>120</v>
      </c>
      <c r="E10">
        <v>120</v>
      </c>
      <c r="F10">
        <v>120</v>
      </c>
      <c r="G10">
        <v>120</v>
      </c>
      <c r="H10">
        <v>120</v>
      </c>
      <c r="I10">
        <v>120</v>
      </c>
      <c r="J10">
        <v>120</v>
      </c>
      <c r="K10">
        <v>120</v>
      </c>
      <c r="L10">
        <v>120</v>
      </c>
      <c r="M10">
        <v>120</v>
      </c>
      <c r="N10">
        <v>120</v>
      </c>
      <c r="O10">
        <v>120</v>
      </c>
      <c r="P10">
        <v>120</v>
      </c>
      <c r="Q10">
        <v>120</v>
      </c>
      <c r="R10">
        <v>120</v>
      </c>
      <c r="S10">
        <v>120</v>
      </c>
      <c r="T10">
        <v>120</v>
      </c>
      <c r="U10">
        <v>120</v>
      </c>
      <c r="V10">
        <v>120</v>
      </c>
      <c r="W10">
        <v>120</v>
      </c>
      <c r="X10">
        <v>120</v>
      </c>
      <c r="Y10">
        <v>120</v>
      </c>
    </row>
    <row r="13" spans="1:25">
      <c r="A13" t="s">
        <v>5</v>
      </c>
      <c r="B13">
        <f>SUM(B4:T10)</f>
        <v>2900</v>
      </c>
      <c r="D13" t="s">
        <v>6</v>
      </c>
      <c r="E13">
        <f>SUM(H4:T10)</f>
        <v>2000</v>
      </c>
      <c r="G13" t="s">
        <v>7</v>
      </c>
      <c r="H13">
        <f>B13-E13</f>
        <v>900</v>
      </c>
    </row>
    <row r="15" spans="1:25">
      <c r="A15" s="2" t="s">
        <v>22</v>
      </c>
    </row>
    <row r="16" spans="1:25" ht="30.75">
      <c r="A16" s="4" t="s">
        <v>23</v>
      </c>
      <c r="B16" t="s">
        <v>24</v>
      </c>
    </row>
    <row r="18" spans="1:2">
      <c r="A18" t="s">
        <v>25</v>
      </c>
      <c r="B18" s="2" t="s">
        <v>26</v>
      </c>
    </row>
    <row r="19" spans="1:2">
      <c r="A19" t="s">
        <v>27</v>
      </c>
      <c r="B19" s="2" t="s">
        <v>28</v>
      </c>
    </row>
  </sheetData>
  <hyperlinks>
    <hyperlink ref="A15" r:id="rId1" xr:uid="{EA80B031-F5DD-4FF6-BA38-C97B7470C3D2}"/>
    <hyperlink ref="A16" r:id="rId2" xr:uid="{41012345-A84D-4532-BAC7-2F54919C73A6}"/>
    <hyperlink ref="B18" r:id="rId3" xr:uid="{2D541998-4D00-4635-B23F-54679A42E279}"/>
    <hyperlink ref="B19" r:id="rId4" location=":~:text=Traditional%20or%20incandescent%20light%20bulbs,as%20heat%20passes%20through%20it" xr:uid="{2C4810B5-224B-48FC-B7AD-E226625C137B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B583-16C1-49FC-AF92-6427C15660D7}">
  <dimension ref="A1:Y33"/>
  <sheetViews>
    <sheetView topLeftCell="E8" workbookViewId="0">
      <selection activeCell="Q9" sqref="Q9"/>
    </sheetView>
  </sheetViews>
  <sheetFormatPr defaultColWidth="8.85546875" defaultRowHeight="15"/>
  <cols>
    <col min="1" max="1" width="32.140625" customWidth="1"/>
  </cols>
  <sheetData>
    <row r="1" spans="1:25">
      <c r="A1" t="s">
        <v>29</v>
      </c>
      <c r="B1">
        <f>SUM(B4:B13)</f>
        <v>425</v>
      </c>
      <c r="C1">
        <f t="shared" ref="C1:Y1" si="0">SUM(C4:C13)</f>
        <v>425</v>
      </c>
      <c r="D1">
        <f t="shared" si="0"/>
        <v>425</v>
      </c>
      <c r="E1">
        <f t="shared" si="0"/>
        <v>425</v>
      </c>
      <c r="F1">
        <f t="shared" si="0"/>
        <v>425</v>
      </c>
      <c r="G1">
        <f t="shared" si="0"/>
        <v>655</v>
      </c>
      <c r="H1">
        <f t="shared" si="0"/>
        <v>655</v>
      </c>
      <c r="I1">
        <f t="shared" si="0"/>
        <v>975</v>
      </c>
      <c r="J1">
        <f t="shared" si="0"/>
        <v>975</v>
      </c>
      <c r="K1">
        <f t="shared" si="0"/>
        <v>975</v>
      </c>
      <c r="L1">
        <f t="shared" si="0"/>
        <v>975</v>
      </c>
      <c r="M1">
        <f t="shared" si="0"/>
        <v>1625</v>
      </c>
      <c r="N1">
        <f t="shared" si="0"/>
        <v>1625</v>
      </c>
      <c r="O1">
        <f t="shared" si="0"/>
        <v>1725</v>
      </c>
      <c r="P1">
        <f t="shared" si="0"/>
        <v>1725</v>
      </c>
      <c r="Q1">
        <f t="shared" si="0"/>
        <v>1725</v>
      </c>
      <c r="R1">
        <f t="shared" si="0"/>
        <v>1625</v>
      </c>
      <c r="S1">
        <f t="shared" si="0"/>
        <v>975</v>
      </c>
      <c r="T1">
        <f t="shared" si="0"/>
        <v>1832</v>
      </c>
      <c r="U1">
        <f t="shared" si="0"/>
        <v>1672</v>
      </c>
      <c r="V1">
        <f t="shared" si="0"/>
        <v>1267</v>
      </c>
      <c r="W1">
        <f t="shared" si="0"/>
        <v>1267</v>
      </c>
      <c r="X1">
        <f t="shared" si="0"/>
        <v>440</v>
      </c>
      <c r="Y1">
        <f t="shared" si="0"/>
        <v>440</v>
      </c>
    </row>
    <row r="3" spans="1:25">
      <c r="A3" s="1" t="s">
        <v>1</v>
      </c>
      <c r="B3" s="1">
        <v>0</v>
      </c>
      <c r="C3" s="1">
        <f>B3+1</f>
        <v>1</v>
      </c>
      <c r="D3" s="1">
        <f>C3+1</f>
        <v>2</v>
      </c>
      <c r="E3" s="1">
        <f>D3+1</f>
        <v>3</v>
      </c>
      <c r="F3" s="1">
        <f>E3+1</f>
        <v>4</v>
      </c>
      <c r="G3" s="1">
        <f>F3+1</f>
        <v>5</v>
      </c>
      <c r="H3" s="1">
        <f>G3+1</f>
        <v>6</v>
      </c>
      <c r="I3" s="1">
        <f>H3+1</f>
        <v>7</v>
      </c>
      <c r="J3" s="1">
        <f>I3+1</f>
        <v>8</v>
      </c>
      <c r="K3" s="1">
        <f>J3+1</f>
        <v>9</v>
      </c>
      <c r="L3" s="1">
        <f>K3+1</f>
        <v>10</v>
      </c>
      <c r="M3" s="1">
        <f>L3+1</f>
        <v>11</v>
      </c>
      <c r="N3" s="1">
        <f>M3+1</f>
        <v>12</v>
      </c>
      <c r="O3" s="1">
        <f>N3+1</f>
        <v>13</v>
      </c>
      <c r="P3" s="1">
        <f>O3+1</f>
        <v>14</v>
      </c>
      <c r="Q3" s="1">
        <f>P3+1</f>
        <v>15</v>
      </c>
      <c r="R3" s="1">
        <f>Q3+1</f>
        <v>16</v>
      </c>
      <c r="S3" s="1">
        <f>R3+1</f>
        <v>17</v>
      </c>
      <c r="T3" s="1">
        <f>S3+1</f>
        <v>18</v>
      </c>
      <c r="U3" s="1">
        <f>T3+1</f>
        <v>19</v>
      </c>
      <c r="V3" s="1">
        <f>U3+1</f>
        <v>20</v>
      </c>
      <c r="W3" s="1">
        <f>V3+1</f>
        <v>21</v>
      </c>
      <c r="X3" s="1">
        <f>W3+1</f>
        <v>22</v>
      </c>
      <c r="Y3" s="1">
        <f>X3+1</f>
        <v>23</v>
      </c>
    </row>
    <row r="4" spans="1: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30</v>
      </c>
      <c r="H4">
        <v>30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30</v>
      </c>
      <c r="U4">
        <v>30</v>
      </c>
      <c r="V4">
        <v>0</v>
      </c>
      <c r="W4">
        <v>0</v>
      </c>
      <c r="X4">
        <v>0</v>
      </c>
      <c r="Y4">
        <v>0</v>
      </c>
    </row>
    <row r="5" spans="1: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200</v>
      </c>
      <c r="H5">
        <v>200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200</v>
      </c>
      <c r="W5">
        <v>200</v>
      </c>
      <c r="X5">
        <v>0</v>
      </c>
      <c r="Y5">
        <v>0</v>
      </c>
    </row>
    <row r="6" spans="1:25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100</v>
      </c>
      <c r="Q6">
        <v>100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31</v>
      </c>
      <c r="B7">
        <v>305</v>
      </c>
      <c r="C7">
        <v>305</v>
      </c>
      <c r="D7">
        <v>305</v>
      </c>
      <c r="E7">
        <v>305</v>
      </c>
      <c r="F7">
        <v>305</v>
      </c>
      <c r="G7">
        <v>305</v>
      </c>
      <c r="H7">
        <v>305</v>
      </c>
      <c r="I7">
        <v>305</v>
      </c>
      <c r="J7">
        <v>305</v>
      </c>
      <c r="K7">
        <v>305</v>
      </c>
      <c r="L7">
        <v>305</v>
      </c>
      <c r="M7">
        <v>305</v>
      </c>
      <c r="N7">
        <v>305</v>
      </c>
      <c r="O7">
        <v>305</v>
      </c>
      <c r="P7">
        <v>305</v>
      </c>
      <c r="Q7">
        <v>305</v>
      </c>
      <c r="R7">
        <v>305</v>
      </c>
      <c r="S7">
        <v>305</v>
      </c>
      <c r="T7">
        <v>305</v>
      </c>
      <c r="U7">
        <v>305</v>
      </c>
      <c r="V7">
        <v>305</v>
      </c>
      <c r="W7">
        <v>305</v>
      </c>
      <c r="X7">
        <v>305</v>
      </c>
      <c r="Y7">
        <v>305</v>
      </c>
    </row>
    <row r="8" spans="1:25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15</v>
      </c>
      <c r="V8">
        <v>15</v>
      </c>
      <c r="W8">
        <v>15</v>
      </c>
      <c r="X8">
        <v>15</v>
      </c>
      <c r="Y8">
        <v>15</v>
      </c>
    </row>
    <row r="9" spans="1:25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550</v>
      </c>
      <c r="J9">
        <v>550</v>
      </c>
      <c r="K9">
        <v>550</v>
      </c>
      <c r="L9">
        <v>550</v>
      </c>
      <c r="M9">
        <v>550</v>
      </c>
      <c r="N9">
        <v>550</v>
      </c>
      <c r="O9">
        <v>550</v>
      </c>
      <c r="P9">
        <v>550</v>
      </c>
      <c r="Q9">
        <v>550</v>
      </c>
      <c r="R9">
        <v>550</v>
      </c>
      <c r="S9">
        <v>550</v>
      </c>
      <c r="T9">
        <v>550</v>
      </c>
      <c r="U9">
        <v>550</v>
      </c>
      <c r="V9">
        <v>550</v>
      </c>
      <c r="W9">
        <v>550</v>
      </c>
      <c r="X9">
        <v>0</v>
      </c>
      <c r="Y9">
        <v>0</v>
      </c>
    </row>
    <row r="10" spans="1:25">
      <c r="A10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650</v>
      </c>
      <c r="N10">
        <v>650</v>
      </c>
      <c r="O10">
        <v>650</v>
      </c>
      <c r="P10">
        <v>650</v>
      </c>
      <c r="Q10">
        <v>650</v>
      </c>
      <c r="R10">
        <v>650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77</v>
      </c>
      <c r="U11">
        <v>77</v>
      </c>
      <c r="V11">
        <v>77</v>
      </c>
      <c r="W11">
        <v>77</v>
      </c>
      <c r="X11">
        <v>0</v>
      </c>
      <c r="Y11">
        <v>0</v>
      </c>
    </row>
    <row r="12" spans="1:25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750</v>
      </c>
      <c r="U12">
        <v>375</v>
      </c>
      <c r="V12">
        <v>0</v>
      </c>
      <c r="W12">
        <v>0</v>
      </c>
      <c r="X12">
        <v>0</v>
      </c>
      <c r="Y12">
        <v>0</v>
      </c>
    </row>
    <row r="13" spans="1:25">
      <c r="A13" t="s">
        <v>21</v>
      </c>
      <c r="B13">
        <v>120</v>
      </c>
      <c r="C13">
        <v>120</v>
      </c>
      <c r="D13">
        <v>120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120</v>
      </c>
      <c r="L13">
        <v>120</v>
      </c>
      <c r="M13">
        <v>120</v>
      </c>
      <c r="N13">
        <v>120</v>
      </c>
      <c r="O13">
        <v>120</v>
      </c>
      <c r="P13">
        <v>120</v>
      </c>
      <c r="Q13">
        <v>120</v>
      </c>
      <c r="R13">
        <v>120</v>
      </c>
      <c r="S13">
        <v>120</v>
      </c>
      <c r="T13">
        <v>120</v>
      </c>
      <c r="U13">
        <v>120</v>
      </c>
      <c r="V13">
        <v>120</v>
      </c>
      <c r="W13">
        <v>120</v>
      </c>
      <c r="X13">
        <v>120</v>
      </c>
      <c r="Y13">
        <v>120</v>
      </c>
    </row>
    <row r="14" spans="1:25">
      <c r="A14" t="s">
        <v>4</v>
      </c>
      <c r="B14">
        <f>B1</f>
        <v>425</v>
      </c>
      <c r="C14">
        <f t="shared" ref="C14:Y14" si="1">C1</f>
        <v>425</v>
      </c>
      <c r="D14">
        <f t="shared" si="1"/>
        <v>425</v>
      </c>
      <c r="E14">
        <f t="shared" si="1"/>
        <v>425</v>
      </c>
      <c r="F14">
        <f t="shared" si="1"/>
        <v>425</v>
      </c>
      <c r="G14">
        <f t="shared" si="1"/>
        <v>655</v>
      </c>
      <c r="H14">
        <f t="shared" si="1"/>
        <v>655</v>
      </c>
      <c r="I14">
        <f t="shared" si="1"/>
        <v>975</v>
      </c>
      <c r="J14">
        <f t="shared" si="1"/>
        <v>975</v>
      </c>
      <c r="K14">
        <f t="shared" si="1"/>
        <v>975</v>
      </c>
      <c r="L14">
        <f t="shared" si="1"/>
        <v>975</v>
      </c>
      <c r="M14">
        <f t="shared" si="1"/>
        <v>1625</v>
      </c>
      <c r="N14">
        <f t="shared" si="1"/>
        <v>1625</v>
      </c>
      <c r="O14">
        <f t="shared" si="1"/>
        <v>1725</v>
      </c>
      <c r="P14">
        <f t="shared" si="1"/>
        <v>1725</v>
      </c>
      <c r="Q14">
        <f t="shared" si="1"/>
        <v>1725</v>
      </c>
      <c r="R14">
        <f t="shared" si="1"/>
        <v>1625</v>
      </c>
      <c r="S14">
        <f t="shared" si="1"/>
        <v>975</v>
      </c>
      <c r="T14">
        <f t="shared" si="1"/>
        <v>1832</v>
      </c>
      <c r="U14">
        <f t="shared" si="1"/>
        <v>1672</v>
      </c>
      <c r="V14">
        <f t="shared" si="1"/>
        <v>1267</v>
      </c>
      <c r="W14">
        <f t="shared" si="1"/>
        <v>1267</v>
      </c>
      <c r="X14">
        <f t="shared" si="1"/>
        <v>440</v>
      </c>
      <c r="Y14">
        <f t="shared" si="1"/>
        <v>440</v>
      </c>
    </row>
    <row r="17" spans="1:9">
      <c r="A17" t="s">
        <v>5</v>
      </c>
      <c r="B17">
        <f>SUM(B4:Y13)</f>
        <v>25278</v>
      </c>
      <c r="D17" t="s">
        <v>6</v>
      </c>
      <c r="E17">
        <f>SUM(H4:T13)</f>
        <v>17412</v>
      </c>
      <c r="G17" t="s">
        <v>7</v>
      </c>
      <c r="H17">
        <f>B17-E17</f>
        <v>7866</v>
      </c>
    </row>
    <row r="18" spans="1:9">
      <c r="I18" t="s">
        <v>15</v>
      </c>
    </row>
    <row r="23" spans="1:9">
      <c r="A23" t="s">
        <v>37</v>
      </c>
    </row>
    <row r="24" spans="1:9">
      <c r="B24" t="s">
        <v>38</v>
      </c>
    </row>
    <row r="25" spans="1:9">
      <c r="A25" t="s">
        <v>39</v>
      </c>
      <c r="B25">
        <v>100</v>
      </c>
      <c r="C25" s="2" t="s">
        <v>40</v>
      </c>
    </row>
    <row r="26" spans="1:9">
      <c r="A26" t="s">
        <v>31</v>
      </c>
      <c r="B26">
        <v>305</v>
      </c>
      <c r="C26" s="2" t="s">
        <v>41</v>
      </c>
    </row>
    <row r="27" spans="1:9">
      <c r="A27" t="s">
        <v>33</v>
      </c>
      <c r="B27">
        <v>550</v>
      </c>
      <c r="C27" s="2" t="s">
        <v>42</v>
      </c>
    </row>
    <row r="28" spans="1:9">
      <c r="A28" t="s">
        <v>35</v>
      </c>
      <c r="B28">
        <v>77</v>
      </c>
      <c r="C28" s="2" t="s">
        <v>43</v>
      </c>
    </row>
    <row r="29" spans="1:9">
      <c r="A29" t="s">
        <v>44</v>
      </c>
      <c r="B29">
        <v>120</v>
      </c>
      <c r="C29" s="2" t="s">
        <v>45</v>
      </c>
    </row>
    <row r="30" spans="1:9">
      <c r="A30" t="s">
        <v>46</v>
      </c>
      <c r="B30">
        <v>650</v>
      </c>
      <c r="C30" t="s">
        <v>47</v>
      </c>
    </row>
    <row r="31" spans="1:9">
      <c r="A31" t="s">
        <v>31</v>
      </c>
      <c r="B31">
        <v>150</v>
      </c>
      <c r="C31" t="s">
        <v>48</v>
      </c>
    </row>
    <row r="32" spans="1:9">
      <c r="A32" t="s">
        <v>49</v>
      </c>
      <c r="B32">
        <v>1200</v>
      </c>
      <c r="C32" t="s">
        <v>50</v>
      </c>
      <c r="E32" s="2" t="s">
        <v>51</v>
      </c>
    </row>
    <row r="33" spans="1:3">
      <c r="A33" t="s">
        <v>32</v>
      </c>
      <c r="B33">
        <v>15</v>
      </c>
      <c r="C33" s="2" t="s">
        <v>52</v>
      </c>
    </row>
  </sheetData>
  <hyperlinks>
    <hyperlink ref="C25" r:id="rId1" location=":~:text=As%20we%20stated%20most%20normal%20sewing%20machines%20run,will%20not%20run%20your%20amps%20usage%20too%20high." xr:uid="{A22AF41D-B4BC-4CDD-829A-539C721FB6E5}"/>
    <hyperlink ref="C28" r:id="rId2" xr:uid="{6E6DF3E4-CE1F-4DDB-9D80-535E154132E2}"/>
    <hyperlink ref="C27" r:id="rId3" location="manufacturers=Corsair" xr:uid="{6F2D26E1-DE7B-47A4-8C4C-C4564F1E3E07}"/>
    <hyperlink ref="C26" r:id="rId4" location=":~:text=How%20many%20Watts%20is%20my%20LG%20Refrigerator%20The,fridge%20will%20draw%20when%20the%20compressor%20is%20running." xr:uid="{E1C7E5B4-A3A7-44CC-881D-66F931209AD7}"/>
    <hyperlink ref="C29" r:id="rId5" xr:uid="{37F41121-9937-4ECD-B3BF-257D924C7DB7}"/>
    <hyperlink ref="E32" r:id="rId6" location=":~:text=Household%20Appliances%20and%20Lighting,-Please%20use%20twitter&amp;text=In%20the%20USA%20Hairdryers%20tend,dryers%20are%20rated%20at%201200W" xr:uid="{502CE91D-FDB1-4117-8A08-E19D9FF4DBD2}"/>
    <hyperlink ref="C33" r:id="rId7" location=":~:text=How%20Much%20Electricity%20Different%20Items%20in%20Your%20House,7%20Oven%20...%208%20Dishwasher%20...%20More%20items" xr:uid="{38E67FA0-6B35-4136-96EB-194D2FD1A5CD}"/>
  </hyperlinks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005D5CA1582A45AE3BB94CBBE7B4BC" ma:contentTypeVersion="7" ma:contentTypeDescription="Create a new document." ma:contentTypeScope="" ma:versionID="1914a70b1384998eb1a8bdbefe5e57c9">
  <xsd:schema xmlns:xsd="http://www.w3.org/2001/XMLSchema" xmlns:xs="http://www.w3.org/2001/XMLSchema" xmlns:p="http://schemas.microsoft.com/office/2006/metadata/properties" xmlns:ns2="e0ca6b97-36ff-4993-9275-97ddb4728f55" targetNamespace="http://schemas.microsoft.com/office/2006/metadata/properties" ma:root="true" ma:fieldsID="bcec980e76ff86fffdb8e70808ff3226" ns2:_="">
    <xsd:import namespace="e0ca6b97-36ff-4993-9275-97ddb4728f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ca6b97-36ff-4993-9275-97ddb4728f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ca6b97-36ff-4993-9275-97ddb4728f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0C1609-7369-4F98-B7F7-AB95D50E0F2E}"/>
</file>

<file path=customXml/itemProps2.xml><?xml version="1.0" encoding="utf-8"?>
<ds:datastoreItem xmlns:ds="http://schemas.openxmlformats.org/officeDocument/2006/customXml" ds:itemID="{B8895D00-2DD9-4B71-BE7B-557A42D7EDDF}"/>
</file>

<file path=customXml/itemProps3.xml><?xml version="1.0" encoding="utf-8"?>
<ds:datastoreItem xmlns:ds="http://schemas.openxmlformats.org/officeDocument/2006/customXml" ds:itemID="{68558F6E-5737-404A-B6BC-474C64EBE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 Kinghorn</dc:creator>
  <cp:keywords/>
  <dc:description/>
  <cp:lastModifiedBy/>
  <cp:revision/>
  <dcterms:created xsi:type="dcterms:W3CDTF">2023-01-16T13:48:07Z</dcterms:created>
  <dcterms:modified xsi:type="dcterms:W3CDTF">2023-02-06T16:42:00Z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0x0101001F005D5CA1582A45AE3BB94CBBE7B4BC</vt:lpwstr>
  </property>
  <property fmtid="{D5CDD505-2E9C-101B-9397-08002B2CF9AE}" pid="3" name="MediaServiceImageTags">
    <vt:lpwstr/>
  </property>
</Properties>
</file>